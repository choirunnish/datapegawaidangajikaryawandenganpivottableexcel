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D6C440D2-2E78-40FD-87D5-DD4BB82B651C}" xr6:coauthVersionLast="47" xr6:coauthVersionMax="47" xr10:uidLastSave="{00000000-0000-0000-0000-000000000000}"/>
  <bookViews>
    <workbookView xWindow="11424" yWindow="0" windowWidth="11712" windowHeight="12336" firstSheet="1" activeTab="3" xr2:uid="{F5ADC20C-4B86-4083-ABDD-0559A471F7CC}"/>
  </bookViews>
  <sheets>
    <sheet name="data pegawai" sheetId="1" r:id="rId1"/>
    <sheet name="laporan 1" sheetId="2" r:id="rId2"/>
    <sheet name="laporan 2" sheetId="3" r:id="rId3"/>
    <sheet name="laporan 3" sheetId="4" r:id="rId4"/>
  </sheet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5" i="1"/>
</calcChain>
</file>

<file path=xl/sharedStrings.xml><?xml version="1.0" encoding="utf-8"?>
<sst xmlns="http://schemas.openxmlformats.org/spreadsheetml/2006/main" count="130" uniqueCount="58">
  <si>
    <t>NIP</t>
  </si>
  <si>
    <t>P-001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</si>
  <si>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</si>
  <si>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</si>
  <si>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</si>
  <si>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</si>
  <si>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</si>
  <si>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</si>
  <si>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</si>
  <si>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</si>
  <si>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</si>
  <si>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P-011</t>
  </si>
  <si>
    <t>P-012</t>
  </si>
  <si>
    <t>P-013</t>
  </si>
  <si>
    <t>P-014</t>
  </si>
  <si>
    <t>P-015</t>
  </si>
  <si>
    <t>Nama</t>
  </si>
  <si>
    <t>Jenis Kelamin</t>
  </si>
  <si>
    <t>Golongan</t>
  </si>
  <si>
    <t>Gaji Pokok</t>
  </si>
  <si>
    <t>Tunjangan</t>
  </si>
  <si>
    <t>Transport</t>
  </si>
  <si>
    <t>Total Penghasilan</t>
  </si>
  <si>
    <t>Andi</t>
  </si>
  <si>
    <t>Nita</t>
  </si>
  <si>
    <t>Yadi</t>
  </si>
  <si>
    <t>Donita</t>
  </si>
  <si>
    <t>Tati</t>
  </si>
  <si>
    <t>Hanan</t>
  </si>
  <si>
    <t>Ida</t>
  </si>
  <si>
    <t>Anton</t>
  </si>
  <si>
    <t>Baskoro</t>
  </si>
  <si>
    <t>Denis</t>
  </si>
  <si>
    <t>Ibrahim</t>
  </si>
  <si>
    <t>Guntara</t>
  </si>
  <si>
    <t>Tini</t>
  </si>
  <si>
    <t>Ari</t>
  </si>
  <si>
    <t>Hamidah</t>
  </si>
  <si>
    <t>Laki-laki</t>
  </si>
  <si>
    <t>Perempuan</t>
  </si>
  <si>
    <t>3C</t>
  </si>
  <si>
    <t>1A</t>
  </si>
  <si>
    <t>2A</t>
  </si>
  <si>
    <t>2B</t>
  </si>
  <si>
    <t>3A</t>
  </si>
  <si>
    <t>3B</t>
  </si>
  <si>
    <t>2C</t>
  </si>
  <si>
    <t>1B</t>
  </si>
  <si>
    <t>DATA PEGAWAI DAN GAJI BERDASARKAN GOLONGAN</t>
  </si>
  <si>
    <t>Grand Total</t>
  </si>
  <si>
    <t>Sum of Total Penghasilan</t>
  </si>
  <si>
    <t>LAPORAN DATA GAJI BERDASARKAN JENIS KELAMIN KARYAWAN</t>
  </si>
  <si>
    <t>LAPORAN DATA GAJI BERDASARKAN GOLONGAN</t>
  </si>
  <si>
    <t>(All)</t>
  </si>
  <si>
    <t>Sum of Gaji Pokok</t>
  </si>
  <si>
    <t>Sum of Tunjangan</t>
  </si>
  <si>
    <t>Sum of Transport</t>
  </si>
  <si>
    <t>LAPORAN RINCIAN GAJI KARYAWAN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</si>
</sst>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-[$Rp-3809]* #,##0.00_-;\-[$Rp-3809]* #,##0.00_-;_-[$Rp-3809]* &quot;-&quot;??_-;_-@_-"/>
    <numFmt numFmtId="166" formatCode="[$Rp-421]#,##0.00"/>
    <numFmt numFmtId="167" formatCode="_-[$Rp-421]* #,##0.00_-;\-[$Rp-421]* #,##0.00_-;_-[$Rp-421]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pivotButton="1"/>
    <xf numFmtId="165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14">
    <dxf>
      <numFmt numFmtId="165" formatCode="_-[$Rp-3809]* #,##0.00_-;\-[$Rp-3809]* #,##0.00_-;_-[$Rp-3809]* &quot;-&quot;??_-;_-@_-"/>
    </dxf>
    <dxf>
      <numFmt numFmtId="165" formatCode="_-[$Rp-3809]* #,##0.00_-;\-[$Rp-3809]* #,##0.00_-;_-[$Rp-3809]* &quot;-&quot;??_-;_-@_-"/>
    </dxf>
    <dxf>
      <numFmt numFmtId="165" formatCode="_-[$Rp-3809]* #,##0.00_-;\-[$Rp-3809]* #,##0.00_-;_-[$Rp-3809]* &quot;-&quot;??_-;_-@_-"/>
    </dxf>
    <dxf>
      <numFmt numFmtId="165" formatCode="_-[$Rp-3809]* #,##0.00_-;\-[$Rp-3809]* #,##0.00_-;_-[$Rp-3809]* &quot;-&quot;??_-;_-@_-"/>
    </dxf>
    <dxf>
      <numFmt numFmtId="165" formatCode="_-[$Rp-3809]* #,##0.00_-;\-[$Rp-3809]* #,##0.00_-;_-[$Rp-3809]* &quot;-&quot;??_-;_-@_-"/>
    </dxf>
    <dxf>
      <numFmt numFmtId="165" formatCode="_-[$Rp-3809]* #,##0.00_-;\-[$Rp-3809]* #,##0.00_-;_-[$Rp-3809]* &quot;-&quot;??_-;_-@_-"/>
    </dxf>
    <dxf>
      <numFmt numFmtId="165" formatCode="_-[$Rp-3809]* #,##0.00_-;\-[$Rp-3809]* #,##0.00_-;_-[$Rp-3809]* &quot;-&quot;??_-;_-@_-"/>
    </dxf>
    <dxf>
      <numFmt numFmtId="165" formatCode="_-[$Rp-3809]* #,##0.00_-;\-[$Rp-3809]* #,##0.00_-;_-[$Rp-3809]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5" formatCode="_-[$Rp-3809]* #,##0.00_-;\-[$Rp-3809]* #,##0.00_-;_-[$Rp-3809]* &quot;-&quot;??_-;_-@_-"/>
    </dxf>
    <dxf>
      <numFmt numFmtId="165" formatCode="_-[$Rp-3809]* #,##0.00_-;\-[$Rp-3809]* #,##0.00_-;_-[$Rp-3809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[laporan data pegawai dan gaji dengan pivot table.xlsx]laporan 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Grafik Gaji Berdasarkan Golongan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'laporan 2'!$C$4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'laporan 2'!$B$5:$B$13</c:f>
              <c:strCache>
                <c:ptCount val="8"/>
                <c:pt idx="0">
                  <c:v>1A</c:v>
                </c:pt>
                <c:pt idx="1">
                  <c:v>1B</c:v>
                </c:pt>
                <c:pt idx="2">
                  <c:v>2A</c:v>
                </c:pt>
                <c:pt idx="3">
                  <c:v>2B</c:v>
                </c:pt>
                <c:pt idx="4">
                  <c:v>2C</c:v>
                </c:pt>
                <c:pt idx="5">
                  <c:v>3A</c:v>
                </c:pt>
                <c:pt idx="6">
                  <c:v>3B</c:v>
                </c:pt>
                <c:pt idx="7">
                  <c:v>3C</c:v>
                </c:pt>
              </c:strCache>
            </c:strRef>
          </c:cat>
          <c:val>
            <c:numRef>
              <c:f>'laporan 2'!$C$5:$C$13</c:f>
              <c:numCache>
                <c:formatCode>_-[$Rp-3809]* #,##0.00_-;\-[$Rp-3809]* #,##0.00_-;_-[$Rp-3809]* "-"??_-;_-@_-</c:formatCode>
                <c:ptCount val="8"/>
                <c:pt idx="0">
                  <c:v>2185000</c:v>
                </c:pt>
                <c:pt idx="1">
                  <c:v>1380000</c:v>
                </c:pt>
                <c:pt idx="2">
                  <c:v>7590000</c:v>
                </c:pt>
                <c:pt idx="3">
                  <c:v>2875000</c:v>
                </c:pt>
                <c:pt idx="4">
                  <c:v>6670000</c:v>
                </c:pt>
                <c:pt idx="5">
                  <c:v>8050000</c:v>
                </c:pt>
                <c:pt idx="6">
                  <c:v>5175000</c:v>
                </c:pt>
                <c:pt idx="7">
                  <c:v>19350000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5-4A6E-94FA-8A5A72C37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8542479"/>
        <c:axId val="1118545359"/>
      </c:barChart>
      <c:catAx>
        <c:axId val="111854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545359"/>
        <c:crosses val="autoZero"/>
        <c:auto val="1"/>
        <c:lblAlgn val="ctr"/>
        <c:lblOffset val="100"/>
        <c:noMultiLvlLbl val="0"/>
      </c:catAx>
      <c:valAx>
        <c:axId val="111854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Rp-3809]* #,##0.00_-;\-[$Rp-3809]* #,##0.00_-;_-[$Rp-3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5424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360" verticalDpi="360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335286</xdr:colOff>
      <xdr:row>2</xdr:row>
      <xdr:rowOff>125730</xdr:rowOff>
    </xdr:from>
    <xdr:to>
      <xdr:col>16</xdr:col>
      <xdr:colOff>571500</xdr:colOff>
      <xdr:row>19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520084-4FAC-86C1-9891-E44E0DD38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58.81850115741" createdVersion="8" refreshedVersion="8" minRefreshableVersion="3" recordCount="15" xr:uid="{88DF3269-94FD-455C-B2C4-159118FD598C}">
  <cacheSource type="worksheet">
    <worksheetSource ref="B4:I19" sheet="data pegawai"/>
  </cacheSource>
  <cacheFields count="8">
    <cacheField name="NIP" numFmtId="0">
      <sharedItems/>
    </cacheField>
    <cacheField name="Nama" numFmtId="0">
      <sharedItems count="15">
        <s v="Andi"/>
        <s v="Nita"/>
        <s v="Yadi"/>
        <s v="Donita"/>
        <s v="Tati"/>
        <s v="Hanan"/>
        <s v="Ida"/>
        <s v="Anton"/>
        <s v="Baskoro"/>
        <s v="Denis"/>
        <s v="Ibrahim"/>
        <s v="Guntara"/>
        <s v="Tini"/>
        <s v="Ari"/>
        <s v="Hamidah"/>
      </sharedItems>
    </cacheField>
    <cacheField name="Jenis Kelamin" numFmtId="0">
      <sharedItems count="2">
        <s v="Laki-laki"/>
        <s v="Perempuan"/>
      </sharedItems>
    </cacheField>
    <cacheField name="Golongan" numFmtId="0">
      <sharedItems count="8">
        <s v="3C"/>
        <s v="1A"/>
        <s v="2A"/>
        <s v="2B"/>
        <s v="3A"/>
        <s v="3B"/>
        <s v="2C"/>
        <s v="1B"/>
      </sharedItems>
    </cacheField>
    <cacheField name="Gaji Pokok" numFmtId="166">
      <sharedItems containsSemiMixedTypes="0" containsString="0" containsNumber="1" containsInteger="1" minValue="950000" maxValue="5000000" count="8">
        <n v="5000000"/>
        <n v="950000"/>
        <n v="2200000"/>
        <n v="2500000"/>
        <n v="3500000"/>
        <n v="4500000"/>
        <n v="2900000"/>
        <n v="1200000"/>
      </sharedItems>
    </cacheField>
    <cacheField name="Tunjangan" numFmtId="167">
      <sharedItems containsSemiMixedTypes="0" containsString="0" containsNumber="1" containsInteger="1" minValue="142500" maxValue="750000" count="8">
        <n v="750000"/>
        <n v="142500"/>
        <n v="330000"/>
        <n v="375000"/>
        <n v="525000"/>
        <n v="675000"/>
        <n v="435000"/>
        <n v="180000"/>
      </sharedItems>
    </cacheField>
    <cacheField name="Transport" numFmtId="166">
      <sharedItems containsSemiMixedTypes="0" containsString="0" containsNumber="1" containsInteger="1" minValue="0" maxValue="700000" count="2">
        <n v="700000"/>
        <n v="0"/>
      </sharedItems>
    </cacheField>
    <cacheField name="Total Penghasilan" numFmtId="166">
      <sharedItems containsSemiMixedTypes="0" containsString="0" containsNumber="1" containsInteger="1" minValue="1092500" maxValue="64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P-001"/>
    <x v="0"/>
    <x v="0"/>
    <x v="0"/>
    <x v="0"/>
    <x v="0"/>
    <x v="0"/>
    <n v="6450000"/>
  </r>
  <r>
    <s v="P-002"/>
    <x v="1"/>
    <x v="1"/>
    <x v="1"/>
    <x v="1"/>
    <x v="1"/>
    <x v="1"/>
    <n v="1092500"/>
  </r>
  <r>
    <s v="P-003"/>
    <x v="2"/>
    <x v="0"/>
    <x v="2"/>
    <x v="2"/>
    <x v="2"/>
    <x v="1"/>
    <n v="2530000"/>
  </r>
  <r>
    <s v="P-004"/>
    <x v="3"/>
    <x v="1"/>
    <x v="3"/>
    <x v="3"/>
    <x v="3"/>
    <x v="1"/>
    <n v="2875000"/>
  </r>
  <r>
    <s v="P-005"/>
    <x v="4"/>
    <x v="1"/>
    <x v="4"/>
    <x v="4"/>
    <x v="4"/>
    <x v="1"/>
    <n v="4025000"/>
  </r>
  <r>
    <s v="P-006"/>
    <x v="5"/>
    <x v="0"/>
    <x v="5"/>
    <x v="5"/>
    <x v="5"/>
    <x v="1"/>
    <n v="5175000"/>
  </r>
  <r>
    <s v="P-007"/>
    <x v="6"/>
    <x v="1"/>
    <x v="6"/>
    <x v="6"/>
    <x v="6"/>
    <x v="1"/>
    <n v="3335000"/>
  </r>
  <r>
    <s v="P-008"/>
    <x v="7"/>
    <x v="0"/>
    <x v="6"/>
    <x v="6"/>
    <x v="6"/>
    <x v="1"/>
    <n v="3335000"/>
  </r>
  <r>
    <s v="P-009"/>
    <x v="8"/>
    <x v="0"/>
    <x v="1"/>
    <x v="1"/>
    <x v="1"/>
    <x v="1"/>
    <n v="1092500"/>
  </r>
  <r>
    <s v="P-010"/>
    <x v="9"/>
    <x v="0"/>
    <x v="0"/>
    <x v="0"/>
    <x v="0"/>
    <x v="0"/>
    <n v="6450000"/>
  </r>
  <r>
    <s v="P-011"/>
    <x v="10"/>
    <x v="0"/>
    <x v="4"/>
    <x v="4"/>
    <x v="4"/>
    <x v="1"/>
    <n v="4025000"/>
  </r>
  <r>
    <s v="P-012"/>
    <x v="11"/>
    <x v="0"/>
    <x v="2"/>
    <x v="2"/>
    <x v="2"/>
    <x v="1"/>
    <n v="2530000"/>
  </r>
  <r>
    <s v="P-013"/>
    <x v="12"/>
    <x v="1"/>
    <x v="7"/>
    <x v="7"/>
    <x v="7"/>
    <x v="1"/>
    <n v="1380000"/>
  </r>
  <r>
    <s v="P-014"/>
    <x v="13"/>
    <x v="0"/>
    <x v="0"/>
    <x v="0"/>
    <x v="0"/>
    <x v="0"/>
    <n v="6450000"/>
  </r>
  <r>
    <s v="P-015"/>
    <x v="14"/>
    <x v="1"/>
    <x v="2"/>
    <x v="2"/>
    <x v="2"/>
    <x v="1"/>
    <n v="253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A0BF6-EA7A-4A9E-B488-463ABA1FBA3D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21" firstHeaderRow="1" firstDataRow="2" firstDataCol="1"/>
  <pivotFields count="8">
    <pivotField compact="0" outline="0" subtotalTop="0" showAll="0" defaultSubtotal="0"/>
    <pivotField axis="axisRow" compact="0" outline="0" subtotalTop="0" showAll="0" defaultSubtotal="0">
      <items count="15">
        <item x="0"/>
        <item x="7"/>
        <item x="13"/>
        <item x="8"/>
        <item x="9"/>
        <item x="3"/>
        <item x="11"/>
        <item x="14"/>
        <item x="5"/>
        <item x="10"/>
        <item x="6"/>
        <item x="1"/>
        <item x="4"/>
        <item x="12"/>
        <item x="2"/>
      </items>
    </pivotField>
    <pivotField axis="axisCol" compact="0" outline="0" subtotalTop="0" showAll="0" defaultSubtotal="0">
      <items count="2">
        <item x="0"/>
        <item x="1"/>
      </items>
    </pivotField>
    <pivotField compact="0" outline="0" subtotalTop="0" showAll="0" defaultSubtotal="0"/>
    <pivotField compact="0" numFmtId="166" outline="0" subtotalTop="0" showAll="0" defaultSubtotal="0"/>
    <pivotField compact="0" numFmtId="167" outline="0" subtotalTop="0" showAll="0" defaultSubtotal="0"/>
    <pivotField compact="0" numFmtId="166" outline="0" subtotalTop="0" showAll="0" defaultSubtotal="0"/>
    <pivotField dataField="1" compact="0" numFmtId="166" outline="0" subtotalTop="0" showAll="0" defaultSubtota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Total Penghasilan" fld="7" baseField="0" baseItem="0" numFmtId="165"/>
  </dataFields>
  <formats count="5">
    <format dxfId="12">
      <pivotArea outline="0" collapsedLevelsAreSubtotals="1" fieldPosition="0"/>
    </format>
    <format dxfId="11">
      <pivotArea dataOnly="0" labelOnly="1" outline="0" fieldPosition="0">
        <references count="1">
          <reference field="2" count="0"/>
        </references>
      </pivotArea>
    </format>
    <format dxfId="10">
      <pivotArea dataOnly="0" labelOnly="1" grandCol="1" outline="0" fieldPosition="0"/>
    </format>
    <format dxfId="9">
      <pivotArea dataOnly="0" labelOnly="1" outline="0" fieldPosition="0">
        <references count="1">
          <reference field="2" count="0"/>
        </references>
      </pivotArea>
    </format>
    <format dxfId="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084495-A6ED-4A9C-A3B7-6D36446113A0}" name="PivotTable2" cacheId="1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 chartFormat="7">
  <location ref="B4:C13" firstHeaderRow="1" firstDataRow="1" firstDataCol="1"/>
  <pivotFields count="8">
    <pivotField compact="0" outline="0" subtotalTop="0" showAll="0" defaultSubtotal="0"/>
    <pivotField compact="0" outline="0" subtotalTop="0" showAll="0" defaultSubtotal="0">
      <items count="15">
        <item x="0"/>
        <item x="7"/>
        <item x="13"/>
        <item x="8"/>
        <item x="9"/>
        <item x="3"/>
        <item x="11"/>
        <item x="14"/>
        <item x="5"/>
        <item x="10"/>
        <item x="6"/>
        <item x="1"/>
        <item x="4"/>
        <item x="12"/>
        <item x="2"/>
      </items>
    </pivotField>
    <pivotField compact="0" outline="0" subtotalTop="0" showAll="0" defaultSubtotal="0"/>
    <pivotField axis="axisRow" compact="0" outline="0" subtotalTop="0" showAll="0" defaultSubtotal="0">
      <items count="8">
        <item x="1"/>
        <item x="7"/>
        <item x="2"/>
        <item x="3"/>
        <item x="6"/>
        <item x="4"/>
        <item x="5"/>
        <item x="0"/>
      </items>
    </pivotField>
    <pivotField compact="0" numFmtId="166" outline="0" subtotalTop="0" showAll="0" defaultSubtotal="0"/>
    <pivotField compact="0" numFmtId="167" outline="0" subtotalTop="0" showAll="0" defaultSubtotal="0"/>
    <pivotField compact="0" numFmtId="166" outline="0" subtotalTop="0" showAll="0" defaultSubtotal="0"/>
    <pivotField dataField="1" compact="0" numFmtId="166" outline="0" subtotalTop="0" showAll="0" defaultSubtota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Penghasilan" fld="7" baseField="0" baseItem="0" numFmtId="165"/>
  </dataFields>
  <formats count="1">
    <format dxfId="7">
      <pivotArea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A28BAA-10CE-4C34-B1F4-BD17E57C544C}" name="PivotTable3" cacheId="1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B4:F20" firstHeaderRow="0" firstDataRow="1" firstDataCol="1" rowPageCount="2" colPageCount="1"/>
  <pivotFields count="8">
    <pivotField compact="0" outline="0" subtotalTop="0" showAll="0" defaultSubtotal="0"/>
    <pivotField axis="axisRow" compact="0" outline="0" subtotalTop="0" showAll="0" defaultSubtotal="0">
      <items count="15">
        <item x="0"/>
        <item x="7"/>
        <item x="13"/>
        <item x="8"/>
        <item x="9"/>
        <item x="3"/>
        <item x="11"/>
        <item x="14"/>
        <item x="5"/>
        <item x="10"/>
        <item x="6"/>
        <item x="1"/>
        <item x="4"/>
        <item x="12"/>
        <item x="2"/>
      </items>
    </pivotField>
    <pivotField axis="axisPage" compact="0" outline="0" subtotalTop="0" showAll="0" defaultSubtotal="0">
      <items count="2">
        <item x="0"/>
        <item x="1"/>
      </items>
    </pivotField>
    <pivotField axis="axisPage" compact="0" outline="0" subtotalTop="0" showAll="0" defaultSubtotal="0">
      <items count="8">
        <item x="1"/>
        <item x="7"/>
        <item x="2"/>
        <item x="3"/>
        <item x="6"/>
        <item x="4"/>
        <item x="5"/>
        <item x="0"/>
      </items>
    </pivotField>
    <pivotField dataField="1" compact="0" numFmtId="166" outline="0" subtotalTop="0" showAll="0" defaultSubtotal="0">
      <items count="8">
        <item x="1"/>
        <item x="7"/>
        <item x="2"/>
        <item x="3"/>
        <item x="6"/>
        <item x="4"/>
        <item x="5"/>
        <item x="0"/>
      </items>
    </pivotField>
    <pivotField dataField="1" compact="0" numFmtId="167" outline="0" subtotalTop="0" showAll="0" defaultSubtotal="0">
      <items count="8">
        <item x="1"/>
        <item x="7"/>
        <item x="2"/>
        <item x="3"/>
        <item x="6"/>
        <item x="4"/>
        <item x="5"/>
        <item x="0"/>
      </items>
    </pivotField>
    <pivotField dataField="1" compact="0" numFmtId="166" outline="0" subtotalTop="0" showAll="0" defaultSubtotal="0">
      <items count="2">
        <item x="1"/>
        <item x="0"/>
      </items>
    </pivotField>
    <pivotField dataField="1" compact="0" numFmtId="166" outline="0" subtotalTop="0" showAll="0" defaultSubtota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3" hier="-1"/>
    <pageField fld="2" hier="-1"/>
  </pageFields>
  <dataFields count="4">
    <dataField name="Sum of Gaji Pokok" fld="4" baseField="0" baseItem="0" numFmtId="166"/>
    <dataField name="Sum of Tunjangan" fld="5" baseField="0" baseItem="0" numFmtId="167"/>
    <dataField name="Sum of Transport" fld="6" baseField="0" baseItem="0" numFmtId="166"/>
    <dataField name="Sum of Total Penghasilan" fld="7" baseField="0" baseItem="0" numFmtId="166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F18AA-FACF-4D65-98A5-2EBD56541362}">
  <dimension ref="B2:I19"/>
  <sheetViews>
    <sheetView zoomScale="75" workbookViewId="0">
      <selection activeCell="B2" sqref="B2:I19"/>
    </sheetView>
  </sheetViews>
  <sheetFormatPr defaultRowHeight="15.6" x14ac:dyDescent="0.3"/>
  <cols>
    <col min="1" max="1" width="8.88671875" style="1"/>
    <col min="2" max="2" width="6.33203125" style="1" bestFit="1" customWidth="1"/>
    <col min="3" max="3" width="8.88671875" style="1"/>
    <col min="4" max="4" width="14.109375" style="1" bestFit="1" customWidth="1"/>
    <col min="5" max="5" width="10" style="1" bestFit="1" customWidth="1"/>
    <col min="6" max="6" width="16.88671875" style="1" bestFit="1" customWidth="1"/>
    <col min="7" max="7" width="15.33203125" style="1" bestFit="1" customWidth="1"/>
    <col min="8" max="8" width="15.21875" style="1" bestFit="1" customWidth="1"/>
    <col min="9" max="9" width="18" style="1" bestFit="1" customWidth="1"/>
    <col min="10" max="16384" width="8.88671875" style="1"/>
  </cols>
  <sheetData>
    <row r="2" spans="2:9" x14ac:dyDescent="0.3">
      <c r="B2" s="3" t="s">
        <v>48</v>
      </c>
      <c r="C2" s="3"/>
      <c r="D2" s="3"/>
      <c r="E2" s="3"/>
      <c r="F2" s="3"/>
      <c r="G2" s="3"/>
      <c r="H2" s="3"/>
      <c r="I2" s="3"/>
    </row>
    <row r="4" spans="2:9" x14ac:dyDescent="0.3">
      <c r="B4" s="4" t="s">
        <v>0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</row>
    <row r="5" spans="2:9" x14ac:dyDescent="0.3">
      <c r="B5" s="2" t="s">
        <v>1</v>
      </c>
      <c r="C5" s="2" t="s">
        <v>23</v>
      </c>
      <c r="D5" s="2" t="s">
        <v>38</v>
      </c>
      <c r="E5" s="2" t="s">
        <v>40</v>
      </c>
      <c r="F5" s="10">
        <v>5000000</v>
      </c>
      <c r="G5" s="10">
        <v>750000</v>
      </c>
      <c r="H5" s="10">
        <v>700000</v>
      </c>
      <c r="I5" s="10">
        <f>SUM(F5:H5)</f>
        <v>6450000</v>
      </c>
    </row>
    <row r="6" spans="2:9" x14ac:dyDescent="0.3">
      <c r="B6" s="2" t="s">
        <v>2</v>
      </c>
      <c r="C6" s="2" t="s">
        <v>24</v>
      </c>
      <c r="D6" s="2" t="s">
        <v>39</v>
      </c>
      <c r="E6" s="2" t="s">
        <v>41</v>
      </c>
      <c r="F6" s="10">
        <v>950000</v>
      </c>
      <c r="G6" s="10">
        <v>142500</v>
      </c>
      <c r="H6" s="10">
        <v>0</v>
      </c>
      <c r="I6" s="10">
        <f t="shared" ref="I6:I19" si="0">SUM(F6:H6)</f>
        <v>1092500</v>
      </c>
    </row>
    <row r="7" spans="2:9" x14ac:dyDescent="0.3">
      <c r="B7" s="2" t="s">
        <v>3</v>
      </c>
      <c r="C7" s="2" t="s">
        <v>25</v>
      </c>
      <c r="D7" s="2" t="s">
        <v>38</v>
      </c>
      <c r="E7" s="2" t="s">
        <v>42</v>
      </c>
      <c r="F7" s="10">
        <v>2200000</v>
      </c>
      <c r="G7" s="10">
        <v>330000</v>
      </c>
      <c r="H7" s="10">
        <v>0</v>
      </c>
      <c r="I7" s="10">
        <f t="shared" si="0"/>
        <v>2530000</v>
      </c>
    </row>
    <row r="8" spans="2:9" x14ac:dyDescent="0.3">
      <c r="B8" s="2" t="s">
        <v>4</v>
      </c>
      <c r="C8" s="2" t="s">
        <v>26</v>
      </c>
      <c r="D8" s="2" t="s">
        <v>39</v>
      </c>
      <c r="E8" s="2" t="s">
        <v>43</v>
      </c>
      <c r="F8" s="10">
        <v>2500000</v>
      </c>
      <c r="G8" s="10">
        <v>375000</v>
      </c>
      <c r="H8" s="10">
        <v>0</v>
      </c>
      <c r="I8" s="10">
        <f t="shared" si="0"/>
        <v>2875000</v>
      </c>
    </row>
    <row r="9" spans="2:9" x14ac:dyDescent="0.3">
      <c r="B9" s="2" t="s">
        <v>5</v>
      </c>
      <c r="C9" s="2" t="s">
        <v>27</v>
      </c>
      <c r="D9" s="2" t="s">
        <v>39</v>
      </c>
      <c r="E9" s="2" t="s">
        <v>44</v>
      </c>
      <c r="F9" s="10">
        <v>3500000</v>
      </c>
      <c r="G9" s="10">
        <v>525000</v>
      </c>
      <c r="H9" s="10">
        <v>0</v>
      </c>
      <c r="I9" s="10">
        <f t="shared" si="0"/>
        <v>4025000</v>
      </c>
    </row>
    <row r="10" spans="2:9" x14ac:dyDescent="0.3">
      <c r="B10" s="2" t="s">
        <v>6</v>
      </c>
      <c r="C10" s="2" t="s">
        <v>28</v>
      </c>
      <c r="D10" s="2" t="s">
        <v>38</v>
      </c>
      <c r="E10" s="2" t="s">
        <v>45</v>
      </c>
      <c r="F10" s="10">
        <v>4500000</v>
      </c>
      <c r="G10" s="10">
        <v>675000</v>
      </c>
      <c r="H10" s="10">
        <v>0</v>
      </c>
      <c r="I10" s="10">
        <f t="shared" si="0"/>
        <v>5175000</v>
      </c>
    </row>
    <row r="11" spans="2:9" x14ac:dyDescent="0.3">
      <c r="B11" s="2" t="s">
        <v>7</v>
      </c>
      <c r="C11" s="2" t="s">
        <v>29</v>
      </c>
      <c r="D11" s="2" t="s">
        <v>39</v>
      </c>
      <c r="E11" s="2" t="s">
        <v>46</v>
      </c>
      <c r="F11" s="10">
        <v>2900000</v>
      </c>
      <c r="G11" s="10">
        <v>435000</v>
      </c>
      <c r="H11" s="10">
        <v>0</v>
      </c>
      <c r="I11" s="10">
        <f t="shared" si="0"/>
        <v>3335000</v>
      </c>
    </row>
    <row r="12" spans="2:9" x14ac:dyDescent="0.3">
      <c r="B12" s="2" t="s">
        <v>8</v>
      </c>
      <c r="C12" s="2" t="s">
        <v>30</v>
      </c>
      <c r="D12" s="2" t="s">
        <v>38</v>
      </c>
      <c r="E12" s="2" t="s">
        <v>46</v>
      </c>
      <c r="F12" s="10">
        <v>2900000</v>
      </c>
      <c r="G12" s="10">
        <v>435000</v>
      </c>
      <c r="H12" s="10">
        <v>0</v>
      </c>
      <c r="I12" s="10">
        <f t="shared" si="0"/>
        <v>3335000</v>
      </c>
    </row>
    <row r="13" spans="2:9" x14ac:dyDescent="0.3">
      <c r="B13" s="2" t="s">
        <v>9</v>
      </c>
      <c r="C13" s="2" t="s">
        <v>31</v>
      </c>
      <c r="D13" s="2" t="s">
        <v>38</v>
      </c>
      <c r="E13" s="2" t="s">
        <v>41</v>
      </c>
      <c r="F13" s="10">
        <v>950000</v>
      </c>
      <c r="G13" s="10">
        <v>142500</v>
      </c>
      <c r="H13" s="10">
        <v>0</v>
      </c>
      <c r="I13" s="10">
        <f t="shared" si="0"/>
        <v>1092500</v>
      </c>
    </row>
    <row r="14" spans="2:9" x14ac:dyDescent="0.3">
      <c r="B14" s="2" t="s">
        <v>10</v>
      </c>
      <c r="C14" s="2" t="s">
        <v>32</v>
      </c>
      <c r="D14" s="2" t="s">
        <v>38</v>
      </c>
      <c r="E14" s="2" t="s">
        <v>40</v>
      </c>
      <c r="F14" s="10">
        <v>5000000</v>
      </c>
      <c r="G14" s="10">
        <v>750000</v>
      </c>
      <c r="H14" s="10">
        <v>700000</v>
      </c>
      <c r="I14" s="10">
        <f t="shared" si="0"/>
        <v>6450000</v>
      </c>
    </row>
    <row r="15" spans="2:9" x14ac:dyDescent="0.3">
      <c r="B15" s="2" t="s">
        <v>11</v>
      </c>
      <c r="C15" s="2" t="s">
        <v>33</v>
      </c>
      <c r="D15" s="2" t="s">
        <v>38</v>
      </c>
      <c r="E15" s="2" t="s">
        <v>44</v>
      </c>
      <c r="F15" s="10">
        <v>3500000</v>
      </c>
      <c r="G15" s="10">
        <v>525000</v>
      </c>
      <c r="H15" s="10">
        <v>0</v>
      </c>
      <c r="I15" s="10">
        <f t="shared" si="0"/>
        <v>4025000</v>
      </c>
    </row>
    <row r="16" spans="2:9" x14ac:dyDescent="0.3">
      <c r="B16" s="2" t="s">
        <v>12</v>
      </c>
      <c r="C16" s="2" t="s">
        <v>34</v>
      </c>
      <c r="D16" s="2" t="s">
        <v>38</v>
      </c>
      <c r="E16" s="2" t="s">
        <v>42</v>
      </c>
      <c r="F16" s="10">
        <v>2200000</v>
      </c>
      <c r="G16" s="10">
        <v>330000</v>
      </c>
      <c r="H16" s="10">
        <v>0</v>
      </c>
      <c r="I16" s="10">
        <f t="shared" si="0"/>
        <v>2530000</v>
      </c>
    </row>
    <row r="17" spans="2:9" x14ac:dyDescent="0.3">
      <c r="B17" s="2" t="s">
        <v>13</v>
      </c>
      <c r="C17" s="2" t="s">
        <v>35</v>
      </c>
      <c r="D17" s="2" t="s">
        <v>39</v>
      </c>
      <c r="E17" s="2" t="s">
        <v>47</v>
      </c>
      <c r="F17" s="10">
        <v>1200000</v>
      </c>
      <c r="G17" s="10">
        <v>180000</v>
      </c>
      <c r="H17" s="10">
        <v>0</v>
      </c>
      <c r="I17" s="10">
        <f t="shared" si="0"/>
        <v>1380000</v>
      </c>
    </row>
    <row r="18" spans="2:9" x14ac:dyDescent="0.3">
      <c r="B18" s="2" t="s">
        <v>14</v>
      </c>
      <c r="C18" s="2" t="s">
        <v>36</v>
      </c>
      <c r="D18" s="2" t="s">
        <v>38</v>
      </c>
      <c r="E18" s="2" t="s">
        <v>40</v>
      </c>
      <c r="F18" s="10">
        <v>5000000</v>
      </c>
      <c r="G18" s="10">
        <v>750000</v>
      </c>
      <c r="H18" s="10">
        <v>700000</v>
      </c>
      <c r="I18" s="10">
        <f t="shared" si="0"/>
        <v>6450000</v>
      </c>
    </row>
    <row r="19" spans="2:9" x14ac:dyDescent="0.3">
      <c r="B19" s="2" t="s">
        <v>15</v>
      </c>
      <c r="C19" s="2" t="s">
        <v>37</v>
      </c>
      <c r="D19" s="2" t="s">
        <v>39</v>
      </c>
      <c r="E19" s="2" t="s">
        <v>42</v>
      </c>
      <c r="F19" s="10">
        <v>2200000</v>
      </c>
      <c r="G19" s="10">
        <v>330000</v>
      </c>
      <c r="H19" s="10">
        <v>0</v>
      </c>
      <c r="I19" s="10">
        <f t="shared" si="0"/>
        <v>2530000</v>
      </c>
    </row>
  </sheetData>
  <mergeCells count="1">
    <mergeCell ref="B2:I2"/>
  </mergeCells>
  <phoneticPr fontId="3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558C-1979-4BED-A261-64C1B1081484}">
  <dimension ref="B2:E21"/>
  <sheetViews>
    <sheetView zoomScale="84" workbookViewId="0">
      <selection activeCell="B2" sqref="B2:E21"/>
    </sheetView>
  </sheetViews>
  <sheetFormatPr defaultRowHeight="14.4" x14ac:dyDescent="0.3"/>
  <cols>
    <col min="2" max="2" width="22.5546875" bestFit="1" customWidth="1"/>
    <col min="3" max="5" width="16.33203125" bestFit="1" customWidth="1"/>
  </cols>
  <sheetData>
    <row r="2" spans="2:5" ht="18" x14ac:dyDescent="0.3">
      <c r="B2" s="9" t="s">
        <v>51</v>
      </c>
      <c r="C2" s="9"/>
      <c r="D2" s="9"/>
      <c r="E2" s="9"/>
    </row>
    <row r="4" spans="2:5" x14ac:dyDescent="0.3">
      <c r="B4" s="5" t="s">
        <v>50</v>
      </c>
      <c r="C4" s="5" t="s">
        <v>17</v>
      </c>
    </row>
    <row r="5" spans="2:5" x14ac:dyDescent="0.3">
      <c r="B5" s="5" t="s">
        <v>16</v>
      </c>
      <c r="C5" s="7" t="s">
        <v>38</v>
      </c>
      <c r="D5" s="7" t="s">
        <v>39</v>
      </c>
      <c r="E5" s="7" t="s">
        <v>49</v>
      </c>
    </row>
    <row r="6" spans="2:5" x14ac:dyDescent="0.3">
      <c r="B6" t="s">
        <v>23</v>
      </c>
      <c r="C6" s="6">
        <v>6450000</v>
      </c>
      <c r="D6" s="6"/>
      <c r="E6" s="6">
        <v>6450000</v>
      </c>
    </row>
    <row r="7" spans="2:5" x14ac:dyDescent="0.3">
      <c r="B7" t="s">
        <v>30</v>
      </c>
      <c r="C7" s="6">
        <v>3335000</v>
      </c>
      <c r="D7" s="6"/>
      <c r="E7" s="6">
        <v>3335000</v>
      </c>
    </row>
    <row r="8" spans="2:5" x14ac:dyDescent="0.3">
      <c r="B8" t="s">
        <v>36</v>
      </c>
      <c r="C8" s="6">
        <v>6450000</v>
      </c>
      <c r="D8" s="6"/>
      <c r="E8" s="6">
        <v>6450000</v>
      </c>
    </row>
    <row r="9" spans="2:5" x14ac:dyDescent="0.3">
      <c r="B9" t="s">
        <v>31</v>
      </c>
      <c r="C9" s="6">
        <v>1092500</v>
      </c>
      <c r="D9" s="6"/>
      <c r="E9" s="6">
        <v>1092500</v>
      </c>
    </row>
    <row r="10" spans="2:5" x14ac:dyDescent="0.3">
      <c r="B10" t="s">
        <v>32</v>
      </c>
      <c r="C10" s="6">
        <v>6450000</v>
      </c>
      <c r="D10" s="6"/>
      <c r="E10" s="6">
        <v>6450000</v>
      </c>
    </row>
    <row r="11" spans="2:5" x14ac:dyDescent="0.3">
      <c r="B11" t="s">
        <v>26</v>
      </c>
      <c r="C11" s="6"/>
      <c r="D11" s="6">
        <v>2875000</v>
      </c>
      <c r="E11" s="6">
        <v>2875000</v>
      </c>
    </row>
    <row r="12" spans="2:5" x14ac:dyDescent="0.3">
      <c r="B12" t="s">
        <v>34</v>
      </c>
      <c r="C12" s="6">
        <v>2530000</v>
      </c>
      <c r="D12" s="6"/>
      <c r="E12" s="6">
        <v>2530000</v>
      </c>
    </row>
    <row r="13" spans="2:5" x14ac:dyDescent="0.3">
      <c r="B13" t="s">
        <v>37</v>
      </c>
      <c r="C13" s="6"/>
      <c r="D13" s="6">
        <v>2530000</v>
      </c>
      <c r="E13" s="6">
        <v>2530000</v>
      </c>
    </row>
    <row r="14" spans="2:5" x14ac:dyDescent="0.3">
      <c r="B14" t="s">
        <v>28</v>
      </c>
      <c r="C14" s="6">
        <v>5175000</v>
      </c>
      <c r="D14" s="6"/>
      <c r="E14" s="6">
        <v>5175000</v>
      </c>
    </row>
    <row r="15" spans="2:5" x14ac:dyDescent="0.3">
      <c r="B15" t="s">
        <v>33</v>
      </c>
      <c r="C15" s="6">
        <v>4025000</v>
      </c>
      <c r="D15" s="6"/>
      <c r="E15" s="6">
        <v>4025000</v>
      </c>
    </row>
    <row r="16" spans="2:5" x14ac:dyDescent="0.3">
      <c r="B16" t="s">
        <v>29</v>
      </c>
      <c r="C16" s="6"/>
      <c r="D16" s="6">
        <v>3335000</v>
      </c>
      <c r="E16" s="6">
        <v>3335000</v>
      </c>
    </row>
    <row r="17" spans="2:5" x14ac:dyDescent="0.3">
      <c r="B17" t="s">
        <v>24</v>
      </c>
      <c r="C17" s="6"/>
      <c r="D17" s="6">
        <v>1092500</v>
      </c>
      <c r="E17" s="6">
        <v>1092500</v>
      </c>
    </row>
    <row r="18" spans="2:5" x14ac:dyDescent="0.3">
      <c r="B18" t="s">
        <v>27</v>
      </c>
      <c r="C18" s="6"/>
      <c r="D18" s="6">
        <v>4025000</v>
      </c>
      <c r="E18" s="6">
        <v>4025000</v>
      </c>
    </row>
    <row r="19" spans="2:5" x14ac:dyDescent="0.3">
      <c r="B19" t="s">
        <v>35</v>
      </c>
      <c r="C19" s="6"/>
      <c r="D19" s="6">
        <v>1380000</v>
      </c>
      <c r="E19" s="6">
        <v>1380000</v>
      </c>
    </row>
    <row r="20" spans="2:5" x14ac:dyDescent="0.3">
      <c r="B20" t="s">
        <v>25</v>
      </c>
      <c r="C20" s="6">
        <v>2530000</v>
      </c>
      <c r="D20" s="6"/>
      <c r="E20" s="6">
        <v>2530000</v>
      </c>
    </row>
    <row r="21" spans="2:5" x14ac:dyDescent="0.3">
      <c r="B21" t="s">
        <v>49</v>
      </c>
      <c r="C21" s="6">
        <v>38037500</v>
      </c>
      <c r="D21" s="6">
        <v>15237500</v>
      </c>
      <c r="E21" s="6">
        <v>53275000</v>
      </c>
    </row>
  </sheetData>
  <mergeCells count="1">
    <mergeCell ref="B2:E2"/>
  </mergeCells>
  <printOptions horizontalCentered="1"/>
  <pageMargins left="0.7" right="0.7" top="0.75" bottom="0.75" header="0.3" footer="0.3"/>
  <pageSetup orientation="portrait" horizontalDpi="360" verticalDpi="36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C251-40C0-43D8-999B-157F7C63E0AE}">
  <dimension ref="B2:D13"/>
  <sheetViews>
    <sheetView zoomScale="58" workbookViewId="0">
      <selection activeCell="B2" sqref="B2:D13"/>
    </sheetView>
  </sheetViews>
  <sheetFormatPr defaultRowHeight="14.4" x14ac:dyDescent="0.3"/>
  <cols>
    <col min="2" max="2" width="16.77734375" bestFit="1" customWidth="1"/>
    <col min="3" max="3" width="33.109375" bestFit="1" customWidth="1"/>
    <col min="4" max="4" width="13.5546875" customWidth="1"/>
  </cols>
  <sheetData>
    <row r="2" spans="2:4" x14ac:dyDescent="0.3">
      <c r="B2" s="8" t="s">
        <v>52</v>
      </c>
      <c r="C2" s="8"/>
      <c r="D2" s="8"/>
    </row>
    <row r="4" spans="2:4" x14ac:dyDescent="0.3">
      <c r="B4" s="5" t="s">
        <v>18</v>
      </c>
      <c r="C4" t="s">
        <v>50</v>
      </c>
    </row>
    <row r="5" spans="2:4" x14ac:dyDescent="0.3">
      <c r="B5" t="s">
        <v>41</v>
      </c>
      <c r="C5" s="6">
        <v>2185000</v>
      </c>
    </row>
    <row r="6" spans="2:4" x14ac:dyDescent="0.3">
      <c r="B6" t="s">
        <v>47</v>
      </c>
      <c r="C6" s="6">
        <v>1380000</v>
      </c>
    </row>
    <row r="7" spans="2:4" x14ac:dyDescent="0.3">
      <c r="B7" t="s">
        <v>42</v>
      </c>
      <c r="C7" s="6">
        <v>7590000</v>
      </c>
    </row>
    <row r="8" spans="2:4" x14ac:dyDescent="0.3">
      <c r="B8" t="s">
        <v>43</v>
      </c>
      <c r="C8" s="6">
        <v>2875000</v>
      </c>
    </row>
    <row r="9" spans="2:4" x14ac:dyDescent="0.3">
      <c r="B9" t="s">
        <v>46</v>
      </c>
      <c r="C9" s="6">
        <v>6670000</v>
      </c>
    </row>
    <row r="10" spans="2:4" x14ac:dyDescent="0.3">
      <c r="B10" t="s">
        <v>44</v>
      </c>
      <c r="C10" s="6">
        <v>8050000</v>
      </c>
    </row>
    <row r="11" spans="2:4" x14ac:dyDescent="0.3">
      <c r="B11" t="s">
        <v>45</v>
      </c>
      <c r="C11" s="6">
        <v>5175000</v>
      </c>
    </row>
    <row r="12" spans="2:4" x14ac:dyDescent="0.3">
      <c r="B12" t="s">
        <v>40</v>
      </c>
      <c r="C12" s="6">
        <v>19350000</v>
      </c>
    </row>
    <row r="13" spans="2:4" x14ac:dyDescent="0.3">
      <c r="B13" t="s">
        <v>49</v>
      </c>
      <c r="C13" s="6">
        <v>53275000</v>
      </c>
    </row>
  </sheetData>
  <mergeCells count="1">
    <mergeCell ref="B2:D2"/>
  </mergeCells>
  <pageMargins left="0.7" right="0.7" top="0.75" bottom="0.75" header="0.3" footer="0.3"/>
  <pageSetup orientation="portrait" horizontalDpi="360" verticalDpi="36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CEE0-5B1F-4C0B-ACB6-FC9D43962DBE}">
  <dimension ref="B1:F20"/>
  <sheetViews>
    <sheetView tabSelected="1" topLeftCell="B1" workbookViewId="0">
      <selection activeCell="B7" sqref="B7"/>
    </sheetView>
  </sheetViews>
  <sheetFormatPr defaultRowHeight="14.4" x14ac:dyDescent="0.3"/>
  <cols>
    <col min="2" max="2" width="11.77734375" bestFit="1" customWidth="1"/>
    <col min="3" max="4" width="16.5546875" bestFit="1" customWidth="1"/>
    <col min="5" max="5" width="15.6640625" bestFit="1" customWidth="1"/>
    <col min="6" max="6" width="22.5546875" bestFit="1" customWidth="1"/>
  </cols>
  <sheetData>
    <row r="1" spans="2:6" x14ac:dyDescent="0.3">
      <c r="B1" s="5" t="s">
        <v>18</v>
      </c>
      <c r="C1" t="s">
        <v>53</v>
      </c>
      <c r="E1" s="11" t="s">
        <v>57</v>
      </c>
    </row>
    <row r="2" spans="2:6" x14ac:dyDescent="0.3">
      <c r="B2" s="5" t="s">
        <v>17</v>
      </c>
      <c r="C2" t="s">
        <v>53</v>
      </c>
    </row>
    <row r="4" spans="2:6" x14ac:dyDescent="0.3">
      <c r="B4" s="5" t="s">
        <v>16</v>
      </c>
      <c r="C4" t="s">
        <v>54</v>
      </c>
      <c r="D4" t="s">
        <v>55</v>
      </c>
      <c r="E4" t="s">
        <v>56</v>
      </c>
      <c r="F4" t="s">
        <v>50</v>
      </c>
    </row>
    <row r="5" spans="2:6" x14ac:dyDescent="0.3">
      <c r="B5" t="s">
        <v>23</v>
      </c>
      <c r="C5" s="6">
        <v>5000000</v>
      </c>
      <c r="D5" s="6">
        <v>750000</v>
      </c>
      <c r="E5" s="6">
        <v>700000</v>
      </c>
      <c r="F5" s="6">
        <v>6450000</v>
      </c>
    </row>
    <row r="6" spans="2:6" x14ac:dyDescent="0.3">
      <c r="B6" t="s">
        <v>30</v>
      </c>
      <c r="C6" s="6">
        <v>2900000</v>
      </c>
      <c r="D6" s="6">
        <v>435000</v>
      </c>
      <c r="E6" s="6">
        <v>0</v>
      </c>
      <c r="F6" s="6">
        <v>3335000</v>
      </c>
    </row>
    <row r="7" spans="2:6" x14ac:dyDescent="0.3">
      <c r="B7" t="s">
        <v>36</v>
      </c>
      <c r="C7" s="6">
        <v>5000000</v>
      </c>
      <c r="D7" s="6">
        <v>750000</v>
      </c>
      <c r="E7" s="6">
        <v>700000</v>
      </c>
      <c r="F7" s="6">
        <v>6450000</v>
      </c>
    </row>
    <row r="8" spans="2:6" x14ac:dyDescent="0.3">
      <c r="B8" t="s">
        <v>31</v>
      </c>
      <c r="C8" s="6">
        <v>950000</v>
      </c>
      <c r="D8" s="6">
        <v>142500</v>
      </c>
      <c r="E8" s="6">
        <v>0</v>
      </c>
      <c r="F8" s="6">
        <v>1092500</v>
      </c>
    </row>
    <row r="9" spans="2:6" x14ac:dyDescent="0.3">
      <c r="B9" t="s">
        <v>32</v>
      </c>
      <c r="C9" s="6">
        <v>5000000</v>
      </c>
      <c r="D9" s="6">
        <v>750000</v>
      </c>
      <c r="E9" s="6">
        <v>700000</v>
      </c>
      <c r="F9" s="6">
        <v>6450000</v>
      </c>
    </row>
    <row r="10" spans="2:6" x14ac:dyDescent="0.3">
      <c r="B10" t="s">
        <v>26</v>
      </c>
      <c r="C10" s="6">
        <v>2500000</v>
      </c>
      <c r="D10" s="6">
        <v>375000</v>
      </c>
      <c r="E10" s="6">
        <v>0</v>
      </c>
      <c r="F10" s="6">
        <v>2875000</v>
      </c>
    </row>
    <row r="11" spans="2:6" x14ac:dyDescent="0.3">
      <c r="B11" t="s">
        <v>34</v>
      </c>
      <c r="C11" s="6">
        <v>2200000</v>
      </c>
      <c r="D11" s="6">
        <v>330000</v>
      </c>
      <c r="E11" s="6">
        <v>0</v>
      </c>
      <c r="F11" s="6">
        <v>2530000</v>
      </c>
    </row>
    <row r="12" spans="2:6" x14ac:dyDescent="0.3">
      <c r="B12" t="s">
        <v>37</v>
      </c>
      <c r="C12" s="6">
        <v>2200000</v>
      </c>
      <c r="D12" s="6">
        <v>330000</v>
      </c>
      <c r="E12" s="6">
        <v>0</v>
      </c>
      <c r="F12" s="6">
        <v>2530000</v>
      </c>
    </row>
    <row r="13" spans="2:6" x14ac:dyDescent="0.3">
      <c r="B13" t="s">
        <v>28</v>
      </c>
      <c r="C13" s="6">
        <v>4500000</v>
      </c>
      <c r="D13" s="6">
        <v>675000</v>
      </c>
      <c r="E13" s="6">
        <v>0</v>
      </c>
      <c r="F13" s="6">
        <v>5175000</v>
      </c>
    </row>
    <row r="14" spans="2:6" x14ac:dyDescent="0.3">
      <c r="B14" t="s">
        <v>33</v>
      </c>
      <c r="C14" s="6">
        <v>3500000</v>
      </c>
      <c r="D14" s="6">
        <v>525000</v>
      </c>
      <c r="E14" s="6">
        <v>0</v>
      </c>
      <c r="F14" s="6">
        <v>4025000</v>
      </c>
    </row>
    <row r="15" spans="2:6" x14ac:dyDescent="0.3">
      <c r="B15" t="s">
        <v>29</v>
      </c>
      <c r="C15" s="6">
        <v>2900000</v>
      </c>
      <c r="D15" s="6">
        <v>435000</v>
      </c>
      <c r="E15" s="6">
        <v>0</v>
      </c>
      <c r="F15" s="6">
        <v>3335000</v>
      </c>
    </row>
    <row r="16" spans="2:6" x14ac:dyDescent="0.3">
      <c r="B16" t="s">
        <v>24</v>
      </c>
      <c r="C16" s="6">
        <v>950000</v>
      </c>
      <c r="D16" s="6">
        <v>142500</v>
      </c>
      <c r="E16" s="6">
        <v>0</v>
      </c>
      <c r="F16" s="6">
        <v>1092500</v>
      </c>
    </row>
    <row r="17" spans="2:6" x14ac:dyDescent="0.3">
      <c r="B17" t="s">
        <v>27</v>
      </c>
      <c r="C17" s="6">
        <v>3500000</v>
      </c>
      <c r="D17" s="6">
        <v>525000</v>
      </c>
      <c r="E17" s="6">
        <v>0</v>
      </c>
      <c r="F17" s="6">
        <v>4025000</v>
      </c>
    </row>
    <row r="18" spans="2:6" x14ac:dyDescent="0.3">
      <c r="B18" t="s">
        <v>35</v>
      </c>
      <c r="C18" s="6">
        <v>1200000</v>
      </c>
      <c r="D18" s="6">
        <v>180000</v>
      </c>
      <c r="E18" s="6">
        <v>0</v>
      </c>
      <c r="F18" s="6">
        <v>1380000</v>
      </c>
    </row>
    <row r="19" spans="2:6" x14ac:dyDescent="0.3">
      <c r="B19" t="s">
        <v>25</v>
      </c>
      <c r="C19" s="6">
        <v>2200000</v>
      </c>
      <c r="D19" s="6">
        <v>330000</v>
      </c>
      <c r="E19" s="6">
        <v>0</v>
      </c>
      <c r="F19" s="6">
        <v>2530000</v>
      </c>
    </row>
    <row r="20" spans="2:6" x14ac:dyDescent="0.3">
      <c r="B20" t="s">
        <v>49</v>
      </c>
      <c r="C20" s="6">
        <v>44500000</v>
      </c>
      <c r="D20" s="6">
        <v>6675000</v>
      </c>
      <c r="E20" s="6">
        <v>2100000</v>
      </c>
      <c r="F20" s="6">
        <v>53275000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pegawai</vt:lpstr>
      <vt:lpstr>laporan 1</vt:lpstr>
      <vt:lpstr>laporan 2</vt:lpstr>
      <vt:lpstr>laporan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OHS 2021</dc:creator>
  <cp:lastModifiedBy>LENOVO OHS 2021</cp:lastModifiedBy>
  <cp:lastPrinted>2026-02-05T13:12:06Z</cp:lastPrinted>
  <dcterms:created xsi:type="dcterms:W3CDTF">2026-02-05T12:17:55Z</dcterms:created>
  <dcterms:modified xsi:type="dcterms:W3CDTF">2026-02-05T13:52:13Z</dcterms:modified>
</cp:coreProperties>
</file>